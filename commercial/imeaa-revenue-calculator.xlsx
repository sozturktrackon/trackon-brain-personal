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ricing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Helvetica"/>
      <b val="1"/>
      <color rgb="001A2540"/>
      <sz val="18"/>
    </font>
    <font>
      <name val="Helvetica"/>
      <i val="1"/>
      <color rgb="006F8BA4"/>
      <sz val="11"/>
    </font>
    <font>
      <name val="Helvetica"/>
      <b val="1"/>
      <color rgb="001A2540"/>
      <sz val="10"/>
    </font>
    <font>
      <name val="Helvetica"/>
      <color rgb="001A2540"/>
      <sz val="10"/>
    </font>
    <font>
      <name val="Helvetica"/>
      <b val="1"/>
      <color rgb="00FFFFFF"/>
      <sz val="12"/>
    </font>
    <font>
      <name val="Helvetica"/>
      <b val="1"/>
      <color rgb="00FFFFFF"/>
      <sz val="10"/>
    </font>
    <font>
      <name val="Helvetica"/>
      <b val="1"/>
      <color rgb="00C8923B"/>
      <sz val="10"/>
    </font>
    <font>
      <name val="Helvetica"/>
      <i val="1"/>
      <color rgb="006F8BA4"/>
      <sz val="9"/>
    </font>
    <font>
      <name val="Helvetica"/>
      <b val="1"/>
      <color rgb="001A2540"/>
      <sz val="20"/>
    </font>
  </fonts>
  <fills count="7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506CEA"/>
      </patternFill>
    </fill>
    <fill>
      <patternFill patternType="solid">
        <fgColor rgb="00FFF8E6"/>
      </patternFill>
    </fill>
    <fill>
      <patternFill patternType="solid">
        <fgColor rgb="00FAF8F4"/>
      </patternFill>
    </fill>
    <fill>
      <patternFill patternType="solid">
        <fgColor rgb="00F0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indent="1"/>
    </xf>
    <xf numFmtId="1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 indent="1"/>
    </xf>
    <xf numFmtId="1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1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 inden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vertical="center" inden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4" customWidth="1" min="7" max="7"/>
  </cols>
  <sheetData>
    <row r="2" ht="26" customHeight="1">
      <c r="B2" s="1" t="inlineStr">
        <is>
          <t>IMEAA Partner Spotlight Program</t>
        </is>
      </c>
    </row>
    <row r="3">
      <c r="B3" s="2" t="inlineStr">
        <is>
          <t>Revenue calculator · Trackon Software FZCO</t>
        </is>
      </c>
    </row>
    <row r="5">
      <c r="B5" s="3" t="inlineStr">
        <is>
          <t>How to use this sheet</t>
        </is>
      </c>
    </row>
    <row r="6">
      <c r="B6" s="4" t="inlineStr">
        <is>
          <t>Enter the expected number of IMEAA members at each tier in the yellow cells.</t>
        </is>
      </c>
    </row>
    <row r="7">
      <c r="B7" s="4" t="inlineStr">
        <is>
          <t>Trackon revenue and IMEAA earnings under all three revenue-share structures will update automatically.</t>
        </is>
      </c>
    </row>
    <row r="9" ht="22" customHeight="1">
      <c r="B9" s="5" t="inlineStr">
        <is>
          <t>INPUTS · Expected IMEAA member enrollment</t>
        </is>
      </c>
    </row>
    <row r="10">
      <c r="B10" s="6" t="inlineStr">
        <is>
          <t>Tier</t>
        </is>
      </c>
      <c r="C10" s="6" t="inlineStr">
        <is>
          <t>Members</t>
        </is>
      </c>
      <c r="D10" s="6" t="inlineStr">
        <is>
          <t>Spotlight $/mo</t>
        </is>
      </c>
      <c r="E10" s="6" t="inlineStr">
        <is>
          <t>List $/mo equiv</t>
        </is>
      </c>
      <c r="F10" s="6" t="inlineStr">
        <is>
          <t>(reference only)</t>
        </is>
      </c>
    </row>
    <row r="11">
      <c r="B11" s="7" t="inlineStr">
        <is>
          <t>Spotlight Starter — Founding-50 (first 50)</t>
        </is>
      </c>
      <c r="C11" s="8" t="n">
        <v>0</v>
      </c>
      <c r="D11" s="9" t="n">
        <v>199</v>
      </c>
      <c r="E11" s="9" t="n">
        <v>447</v>
      </c>
      <c r="F11" s="10">
        <f>1-D11/E11</f>
        <v/>
      </c>
    </row>
    <row r="12">
      <c r="B12" s="7" t="inlineStr">
        <is>
          <t>Spotlight Starter — Standard (after first 50)</t>
        </is>
      </c>
      <c r="C12" s="8" t="n">
        <v>0</v>
      </c>
      <c r="D12" s="9" t="n">
        <v>249</v>
      </c>
      <c r="E12" s="9" t="n">
        <v>447</v>
      </c>
      <c r="F12" s="10">
        <f>1-D12/E12</f>
        <v/>
      </c>
    </row>
    <row r="13">
      <c r="B13" s="7" t="inlineStr">
        <is>
          <t>Spotlight Professional — Founding-50 (first 50)</t>
        </is>
      </c>
      <c r="C13" s="8" t="n">
        <v>0</v>
      </c>
      <c r="D13" s="9" t="n">
        <v>799</v>
      </c>
      <c r="E13" s="9" t="n">
        <v>1495</v>
      </c>
      <c r="F13" s="10">
        <f>1-D13/E13</f>
        <v/>
      </c>
    </row>
    <row r="14">
      <c r="B14" s="7" t="inlineStr">
        <is>
          <t>Spotlight Professional — Standard (after first 50)</t>
        </is>
      </c>
      <c r="C14" s="8" t="n">
        <v>0</v>
      </c>
      <c r="D14" s="9" t="n">
        <v>999</v>
      </c>
      <c r="E14" s="9" t="n">
        <v>1495</v>
      </c>
      <c r="F14" s="10">
        <f>1-D14/E14</f>
        <v/>
      </c>
    </row>
    <row r="15">
      <c r="B15" s="7" t="inlineStr">
        <is>
          <t>Spotlight Enterprise (estimate $2,500/mo avg)</t>
        </is>
      </c>
      <c r="C15" s="8" t="n">
        <v>0</v>
      </c>
      <c r="D15" s="9" t="n">
        <v>2500</v>
      </c>
      <c r="E15" s="9" t="n">
        <v>3500</v>
      </c>
      <c r="F15" s="10">
        <f>1-D15/E15</f>
        <v/>
      </c>
    </row>
    <row r="16">
      <c r="B16" s="11" t="inlineStr">
        <is>
          <t>Total members</t>
        </is>
      </c>
      <c r="C16" s="12">
        <f>SUM(C11:C15)</f>
        <v/>
      </c>
      <c r="D16" s="13" t="inlineStr"/>
      <c r="E16" s="13" t="inlineStr"/>
      <c r="F16" s="13" t="inlineStr"/>
    </row>
    <row r="19" ht="22" customHeight="1">
      <c r="B19" s="5" t="inlineStr">
        <is>
          <t>ANNUAL REVENUE · Computed from inputs above</t>
        </is>
      </c>
    </row>
    <row r="20">
      <c r="B20" s="6" t="inlineStr">
        <is>
          <t>Source</t>
        </is>
      </c>
      <c r="C20" s="6" t="inlineStr">
        <is>
          <t>Members</t>
        </is>
      </c>
      <c r="D20" s="6" t="inlineStr">
        <is>
          <t>Spotlight ARR</t>
        </is>
      </c>
      <c r="E20" s="6" t="inlineStr">
        <is>
          <t>List ARR</t>
        </is>
      </c>
      <c r="F20" s="6" t="inlineStr"/>
    </row>
    <row r="21">
      <c r="B21" s="7" t="inlineStr">
        <is>
          <t>Spotlight Starter — Founding-50 (first 50)</t>
        </is>
      </c>
      <c r="C21" s="14">
        <f>C11</f>
        <v/>
      </c>
      <c r="D21" s="9">
        <f>C11*D11*12</f>
        <v/>
      </c>
      <c r="E21" s="9">
        <f>C11*E11*12</f>
        <v/>
      </c>
    </row>
    <row r="22">
      <c r="B22" s="7" t="inlineStr">
        <is>
          <t>Spotlight Starter — Standard (after first 50)</t>
        </is>
      </c>
      <c r="C22" s="14">
        <f>C12</f>
        <v/>
      </c>
      <c r="D22" s="9">
        <f>C12*D12*12</f>
        <v/>
      </c>
      <c r="E22" s="9">
        <f>C12*E12*12</f>
        <v/>
      </c>
    </row>
    <row r="23">
      <c r="B23" s="7" t="inlineStr">
        <is>
          <t>Spotlight Professional — Founding-50 (first 50)</t>
        </is>
      </c>
      <c r="C23" s="14">
        <f>C13</f>
        <v/>
      </c>
      <c r="D23" s="9">
        <f>C13*D13*12</f>
        <v/>
      </c>
      <c r="E23" s="9">
        <f>C13*E13*12</f>
        <v/>
      </c>
    </row>
    <row r="24">
      <c r="B24" s="7" t="inlineStr">
        <is>
          <t>Spotlight Professional — Standard (after first 50)</t>
        </is>
      </c>
      <c r="C24" s="14">
        <f>C14</f>
        <v/>
      </c>
      <c r="D24" s="9">
        <f>C14*D14*12</f>
        <v/>
      </c>
      <c r="E24" s="9">
        <f>C14*E14*12</f>
        <v/>
      </c>
    </row>
    <row r="25">
      <c r="B25" s="7" t="inlineStr">
        <is>
          <t>Spotlight Enterprise (estimate $2,500/mo avg)</t>
        </is>
      </c>
      <c r="C25" s="14">
        <f>C15</f>
        <v/>
      </c>
      <c r="D25" s="9">
        <f>C15*D15*12</f>
        <v/>
      </c>
      <c r="E25" s="9">
        <f>C15*E15*12</f>
        <v/>
      </c>
    </row>
    <row r="26">
      <c r="B26" s="11" t="inlineStr">
        <is>
          <t>Total annual gross revenue</t>
        </is>
      </c>
      <c r="C26" s="15">
        <f>SUM(C21:C25)</f>
        <v/>
      </c>
      <c r="D26" s="16">
        <f>SUM(D21:D25)</f>
        <v/>
      </c>
      <c r="E26" s="16">
        <f>SUM(E21:E25)</f>
        <v/>
      </c>
    </row>
    <row r="29" ht="22" customHeight="1">
      <c r="B29" s="5" t="inlineStr">
        <is>
          <t>REVENUE-SHARE MODELS · How earnings split between Trackon and IMEAA</t>
        </is>
      </c>
    </row>
    <row r="30">
      <c r="B30" s="6" t="inlineStr">
        <is>
          <t>Revenue-share model</t>
        </is>
      </c>
      <c r="C30" s="6" t="inlineStr">
        <is>
          <t>Member price</t>
        </is>
      </c>
      <c r="D30" s="6" t="inlineStr">
        <is>
          <t>Trackon ARR</t>
        </is>
      </c>
      <c r="E30" s="6" t="inlineStr">
        <is>
          <t>IMEAA earnings</t>
        </is>
      </c>
      <c r="F30" s="6" t="inlineStr">
        <is>
          <t>Combined</t>
        </is>
      </c>
    </row>
    <row r="31">
      <c r="B31" s="17" t="inlineStr">
        <is>
          <t>A · Discount only</t>
        </is>
      </c>
      <c r="C31" s="18" t="inlineStr">
        <is>
          <t>Spotlight</t>
        </is>
      </c>
      <c r="D31" s="19">
        <f>D26</f>
        <v/>
      </c>
      <c r="E31" s="19" t="n">
        <v>0</v>
      </c>
      <c r="F31" s="19">
        <f>D26</f>
        <v/>
      </c>
    </row>
    <row r="32">
      <c r="B32" s="17" t="inlineStr">
        <is>
          <t>B · Referral fee only (20% of list)</t>
        </is>
      </c>
      <c r="C32" s="18" t="inlineStr">
        <is>
          <t>List</t>
        </is>
      </c>
      <c r="D32" s="19">
        <f>E26*0.80</f>
        <v/>
      </c>
      <c r="E32" s="19">
        <f>E26*0.20</f>
        <v/>
      </c>
      <c r="F32" s="19">
        <f>E26</f>
        <v/>
      </c>
    </row>
    <row r="33">
      <c r="B33" s="20" t="inlineStr">
        <is>
          <t>C · Hybrid (15% of Spotlight) · RECOMMENDED</t>
        </is>
      </c>
      <c r="C33" s="21" t="inlineStr">
        <is>
          <t>Spotlight</t>
        </is>
      </c>
      <c r="D33" s="22">
        <f>D26*0.85</f>
        <v/>
      </c>
      <c r="E33" s="22">
        <f>D26*0.15</f>
        <v/>
      </c>
      <c r="F33" s="22">
        <f>D26</f>
        <v/>
      </c>
    </row>
    <row r="36">
      <c r="B36" s="3" t="inlineStr">
        <is>
          <t>Example scenario (try these inputs)</t>
        </is>
      </c>
    </row>
    <row r="37">
      <c r="B37" s="23" t="inlineStr">
        <is>
          <t>30 Founding-50 Starter  +  15 Founding-50 Pro  +  3 Enterprise  =  ~$390K Trackon ARR  +  ~$69K IMEAA at hybrid</t>
        </is>
      </c>
    </row>
    <row r="38">
      <c r="B38" s="23" t="inlineStr">
        <is>
          <t>Or a more ambitious scale: 50 + 25 + 5 → ~$600K Trackon ARR  +  ~$106K IMEAA at hybrid (after Founding-50 cap kicks in)</t>
        </is>
      </c>
    </row>
    <row r="40">
      <c r="B40" s="3" t="inlineStr">
        <is>
          <t>Notes</t>
        </is>
      </c>
    </row>
    <row r="41">
      <c r="B41" s="23" t="inlineStr">
        <is>
          <t>· Enterprise list price ($3,500/mo) is an estimate. Actual contracts are custom and will be negotiated case by case.</t>
        </is>
      </c>
    </row>
    <row r="42">
      <c r="B42" s="23" t="inlineStr">
        <is>
          <t>· The Founding-50 cap means only the first 50 IMEAA enrollees get Founding-50 pricing. After 50, Standard prices apply.</t>
        </is>
      </c>
    </row>
    <row r="43">
      <c r="B43" s="23" t="inlineStr">
        <is>
          <t>· The hybrid (Model C) is what Trackon proposes as the default. Models A and B are alternatives for IMEAA's consideration.</t>
        </is>
      </c>
    </row>
    <row r="46">
      <c r="B46" s="23" t="inlineStr">
        <is>
          <t>Trackon Software FZCO · Dubai, UAE · trackon.ai · trackon.com</t>
        </is>
      </c>
    </row>
  </sheetData>
  <mergeCells count="3">
    <mergeCell ref="B29:F29"/>
    <mergeCell ref="B9:F9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2">
      <c r="B2" s="24" t="inlineStr">
        <is>
          <t>Pricing Bouquet · Reference</t>
        </is>
      </c>
    </row>
    <row r="3">
      <c r="B3" s="23" t="inlineStr">
        <is>
          <t>Same matrix as in the partnership proposal PDF.</t>
        </is>
      </c>
    </row>
    <row r="5" ht="28" customHeight="1">
      <c r="B5" s="25" t="inlineStr">
        <is>
          <t>Tier</t>
        </is>
      </c>
      <c r="C5" s="25" t="inlineStr">
        <is>
          <t>Founding-50 $/mo</t>
        </is>
      </c>
      <c r="D5" s="25" t="inlineStr">
        <is>
          <t>Standard $/mo</t>
        </is>
      </c>
      <c r="E5" s="25" t="inlineStr">
        <is>
          <t>List $/mo equiv</t>
        </is>
      </c>
      <c r="F5" s="25" t="inlineStr">
        <is>
          <t>Users included</t>
        </is>
      </c>
      <c r="G5" s="25" t="inlineStr">
        <is>
          <t>Additional user</t>
        </is>
      </c>
      <c r="H5" s="25" t="inlineStr">
        <is>
          <t>Shipments / mo included</t>
        </is>
      </c>
    </row>
    <row r="6" ht="22" customHeight="1">
      <c r="B6" s="26" t="inlineStr">
        <is>
          <t>Spotlight Starter</t>
        </is>
      </c>
      <c r="C6" s="27" t="inlineStr">
        <is>
          <t>$199</t>
        </is>
      </c>
      <c r="D6" s="27" t="inlineStr">
        <is>
          <t>$249</t>
        </is>
      </c>
      <c r="E6" s="27" t="inlineStr">
        <is>
          <t>$447</t>
        </is>
      </c>
      <c r="F6" s="27" t="inlineStr">
        <is>
          <t>Up to 3</t>
        </is>
      </c>
      <c r="G6" s="27" t="inlineStr">
        <is>
          <t>$49 / user</t>
        </is>
      </c>
      <c r="H6" s="27" t="inlineStr">
        <is>
          <t>15 (then $5/shipment)</t>
        </is>
      </c>
    </row>
    <row r="7" ht="22" customHeight="1">
      <c r="B7" s="26" t="inlineStr">
        <is>
          <t>Spotlight Professional</t>
        </is>
      </c>
      <c r="C7" s="27" t="inlineStr">
        <is>
          <t>$799</t>
        </is>
      </c>
      <c r="D7" s="27" t="inlineStr">
        <is>
          <t>$999</t>
        </is>
      </c>
      <c r="E7" s="27" t="inlineStr">
        <is>
          <t>$1,495</t>
        </is>
      </c>
      <c r="F7" s="27" t="inlineStr">
        <is>
          <t>Up to 5</t>
        </is>
      </c>
      <c r="G7" s="27" t="inlineStr">
        <is>
          <t>$99 / user</t>
        </is>
      </c>
      <c r="H7" s="27" t="inlineStr">
        <is>
          <t>50 (then $5/shipment)</t>
        </is>
      </c>
    </row>
    <row r="8" ht="22" customHeight="1">
      <c r="B8" s="26" t="inlineStr">
        <is>
          <t>Spotlight Enterprise</t>
        </is>
      </c>
      <c r="C8" s="27" t="inlineStr">
        <is>
          <t>Contact</t>
        </is>
      </c>
      <c r="D8" s="27" t="inlineStr">
        <is>
          <t>Contact</t>
        </is>
      </c>
      <c r="E8" s="27" t="inlineStr">
        <is>
          <t>Custom</t>
        </is>
      </c>
      <c r="F8" s="27" t="inlineStr">
        <is>
          <t>Unlimited</t>
        </is>
      </c>
      <c r="G8" s="27" t="inlineStr">
        <is>
          <t>Negotiated</t>
        </is>
      </c>
      <c r="H8" s="27" t="inlineStr">
        <is>
          <t>Volume / negotiated</t>
        </is>
      </c>
    </row>
    <row r="11">
      <c r="B11" s="3" t="inlineStr">
        <is>
          <t>Notes</t>
        </is>
      </c>
    </row>
    <row r="12">
      <c r="B12" s="23" t="inlineStr">
        <is>
          <t>· Founding-50 prices lock for 24 months for the first 50 IMEAA companies enrolled.</t>
        </is>
      </c>
    </row>
    <row r="13">
      <c r="B13" s="23" t="inlineStr">
        <is>
          <t>· After 50 enrollments, Standard prices apply to new IMEAA members.</t>
        </is>
      </c>
    </row>
    <row r="14">
      <c r="B14" s="23" t="inlineStr">
        <is>
          <t>· Each tracked shipment carries an external-API cost. Caps + $5 overage keep margins sustainable.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2026-06-26T11:00:35Z</dcterms:created>
  <dcterms:modified xsi:type="dcterms:W3CDTF">2026-06-26T11:00:35Z</dcterms:modified>
</cp:coreProperties>
</file>